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ate1904="1"/>
  <mc:AlternateContent xmlns:mc="http://schemas.openxmlformats.org/markup-compatibility/2006">
    <mc:Choice Requires="x15">
      <x15ac:absPath xmlns:x15ac="http://schemas.microsoft.com/office/spreadsheetml/2010/11/ac" url="C:\repos\garmin\RacePilot\notes\"/>
    </mc:Choice>
  </mc:AlternateContent>
  <xr:revisionPtr revIDLastSave="0" documentId="13_ncr:1_{208159D1-E1FD-4D5F-888D-FFF33CB27A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1" l="1"/>
  <c r="V21" i="1"/>
  <c r="V22" i="1"/>
  <c r="V23" i="1"/>
  <c r="V24" i="1"/>
  <c r="V25" i="1"/>
  <c r="T12" i="1"/>
  <c r="V12" i="1" s="1"/>
  <c r="T13" i="1"/>
  <c r="V13" i="1" s="1"/>
  <c r="T14" i="1"/>
  <c r="V14" i="1" s="1"/>
  <c r="T15" i="1"/>
  <c r="V15" i="1" s="1"/>
  <c r="T16" i="1"/>
  <c r="V16" i="1" s="1"/>
  <c r="T17" i="1"/>
  <c r="V17" i="1" s="1"/>
  <c r="T18" i="1"/>
  <c r="V18" i="1" s="1"/>
  <c r="T19" i="1"/>
  <c r="V19" i="1" s="1"/>
  <c r="T20" i="1"/>
  <c r="T21" i="1"/>
  <c r="T22" i="1"/>
  <c r="T23" i="1"/>
  <c r="T24" i="1"/>
  <c r="T25" i="1"/>
  <c r="T26" i="1"/>
  <c r="V26" i="1" s="1"/>
  <c r="T27" i="1"/>
  <c r="V27" i="1" s="1"/>
  <c r="T28" i="1"/>
  <c r="V28" i="1" s="1"/>
  <c r="T29" i="1"/>
  <c r="V29" i="1" s="1"/>
  <c r="T30" i="1"/>
  <c r="V30" i="1" s="1"/>
  <c r="T31" i="1"/>
  <c r="V31" i="1" s="1"/>
  <c r="T32" i="1"/>
  <c r="V32" i="1" s="1"/>
  <c r="T11" i="1"/>
  <c r="V11" i="1" s="1"/>
  <c r="S29" i="1"/>
  <c r="S30" i="1"/>
  <c r="S31" i="1"/>
  <c r="E4" i="1"/>
  <c r="E2" i="1"/>
  <c r="E7" i="1"/>
  <c r="O32" i="1"/>
  <c r="I11" i="1"/>
  <c r="J11" i="1" s="1"/>
  <c r="L11" i="1" s="1"/>
  <c r="M11" i="1" s="1"/>
  <c r="P11" i="1" s="1"/>
  <c r="I12" i="1"/>
  <c r="J12" i="1" s="1"/>
  <c r="L12" i="1" s="1"/>
  <c r="M12" i="1" s="1"/>
  <c r="P12" i="1" s="1"/>
  <c r="I13" i="1"/>
  <c r="J13" i="1" s="1"/>
  <c r="L13" i="1" s="1"/>
  <c r="M13" i="1" s="1"/>
  <c r="P13" i="1" s="1"/>
  <c r="I14" i="1"/>
  <c r="J14" i="1" s="1"/>
  <c r="L14" i="1" s="1"/>
  <c r="M14" i="1" s="1"/>
  <c r="I15" i="1"/>
  <c r="J15" i="1" s="1"/>
  <c r="L15" i="1" s="1"/>
  <c r="M15" i="1" s="1"/>
  <c r="I16" i="1"/>
  <c r="J16" i="1" s="1"/>
  <c r="L16" i="1" s="1"/>
  <c r="M16" i="1" s="1"/>
  <c r="I17" i="1"/>
  <c r="J17" i="1" s="1"/>
  <c r="L17" i="1" s="1"/>
  <c r="M17" i="1" s="1"/>
  <c r="P17" i="1" s="1"/>
  <c r="I18" i="1"/>
  <c r="J18" i="1" s="1"/>
  <c r="L18" i="1" s="1"/>
  <c r="M18" i="1" s="1"/>
  <c r="P18" i="1" s="1"/>
  <c r="I19" i="1"/>
  <c r="J19" i="1" s="1"/>
  <c r="L19" i="1" s="1"/>
  <c r="M19" i="1" s="1"/>
  <c r="P19" i="1" s="1"/>
  <c r="I20" i="1"/>
  <c r="J20" i="1" s="1"/>
  <c r="L20" i="1" s="1"/>
  <c r="M20" i="1" s="1"/>
  <c r="P20" i="1" s="1"/>
  <c r="I21" i="1"/>
  <c r="J21" i="1" s="1"/>
  <c r="L21" i="1" s="1"/>
  <c r="M21" i="1" s="1"/>
  <c r="I22" i="1"/>
  <c r="J22" i="1" s="1"/>
  <c r="L22" i="1" s="1"/>
  <c r="M22" i="1" s="1"/>
  <c r="P22" i="1" s="1"/>
  <c r="I23" i="1"/>
  <c r="J23" i="1" s="1"/>
  <c r="L23" i="1" s="1"/>
  <c r="M23" i="1" s="1"/>
  <c r="P23" i="1" s="1"/>
  <c r="I24" i="1"/>
  <c r="J24" i="1" s="1"/>
  <c r="L24" i="1" s="1"/>
  <c r="M24" i="1" s="1"/>
  <c r="P24" i="1" s="1"/>
  <c r="I25" i="1"/>
  <c r="J25" i="1" s="1"/>
  <c r="L25" i="1" s="1"/>
  <c r="M25" i="1" s="1"/>
  <c r="P25" i="1" s="1"/>
  <c r="I26" i="1"/>
  <c r="J26" i="1" s="1"/>
  <c r="L26" i="1" s="1"/>
  <c r="M26" i="1" s="1"/>
  <c r="P26" i="1" s="1"/>
  <c r="I27" i="1"/>
  <c r="J27" i="1" s="1"/>
  <c r="L27" i="1" s="1"/>
  <c r="M27" i="1" s="1"/>
  <c r="P27" i="1" s="1"/>
  <c r="I28" i="1"/>
  <c r="J28" i="1" s="1"/>
  <c r="L28" i="1" s="1"/>
  <c r="M28" i="1" s="1"/>
  <c r="I29" i="1"/>
  <c r="J29" i="1" s="1"/>
  <c r="L29" i="1" s="1"/>
  <c r="M29" i="1" s="1"/>
  <c r="I30" i="1"/>
  <c r="J30" i="1" s="1"/>
  <c r="L30" i="1" s="1"/>
  <c r="M30" i="1" s="1"/>
  <c r="I31" i="1"/>
  <c r="J31" i="1" s="1"/>
  <c r="L31" i="1" s="1"/>
  <c r="M31" i="1" s="1"/>
  <c r="P31" i="1" s="1"/>
  <c r="I32" i="1"/>
  <c r="P32" i="1" s="1"/>
  <c r="G32" i="1"/>
  <c r="B3" i="1"/>
  <c r="B16" i="1" s="1"/>
  <c r="D16" i="1" s="1"/>
  <c r="O27" i="1" l="1"/>
  <c r="B27" i="1"/>
  <c r="D27" i="1" s="1"/>
  <c r="P16" i="1"/>
  <c r="O16" i="1"/>
  <c r="P28" i="1"/>
  <c r="O28" i="1"/>
  <c r="P14" i="1"/>
  <c r="O14" i="1"/>
  <c r="P30" i="1"/>
  <c r="O30" i="1"/>
  <c r="P29" i="1"/>
  <c r="O29" i="1"/>
  <c r="P15" i="1"/>
  <c r="O15" i="1"/>
  <c r="P21" i="1"/>
  <c r="O21" i="1"/>
  <c r="O25" i="1"/>
  <c r="O24" i="1"/>
  <c r="O23" i="1"/>
  <c r="O22" i="1"/>
  <c r="B25" i="1"/>
  <c r="D25" i="1" s="1"/>
  <c r="J32" i="1"/>
  <c r="L32" i="1" s="1"/>
  <c r="B15" i="1"/>
  <c r="D15" i="1" s="1"/>
  <c r="O20" i="1"/>
  <c r="O19" i="1"/>
  <c r="B24" i="1"/>
  <c r="D24" i="1" s="1"/>
  <c r="B14" i="1"/>
  <c r="D14" i="1" s="1"/>
  <c r="B13" i="1"/>
  <c r="D13" i="1" s="1"/>
  <c r="O11" i="1"/>
  <c r="O18" i="1"/>
  <c r="O17" i="1"/>
  <c r="B26" i="1"/>
  <c r="D26" i="1" s="1"/>
  <c r="O31" i="1"/>
  <c r="O13" i="1"/>
  <c r="O26" i="1"/>
  <c r="O12" i="1"/>
  <c r="B32" i="1"/>
  <c r="D32" i="1" s="1"/>
  <c r="B31" i="1"/>
  <c r="D31" i="1" s="1"/>
  <c r="B30" i="1"/>
  <c r="D30" i="1" s="1"/>
  <c r="B29" i="1"/>
  <c r="D29" i="1" s="1"/>
  <c r="B28" i="1"/>
  <c r="D28" i="1" s="1"/>
  <c r="B23" i="1"/>
  <c r="D23" i="1" s="1"/>
  <c r="B22" i="1"/>
  <c r="D22" i="1" s="1"/>
  <c r="B18" i="1"/>
  <c r="D18" i="1" s="1"/>
  <c r="B17" i="1"/>
  <c r="D17" i="1" s="1"/>
  <c r="B21" i="1"/>
  <c r="D21" i="1" s="1"/>
  <c r="B11" i="1"/>
  <c r="B20" i="1"/>
  <c r="D20" i="1" s="1"/>
  <c r="B12" i="1"/>
  <c r="D12" i="1" s="1"/>
  <c r="B19" i="1"/>
  <c r="D19" i="1" s="1"/>
  <c r="C11" i="1" l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11" i="1"/>
  <c r="E11" i="1" s="1"/>
  <c r="E12" i="1" l="1"/>
  <c r="F11" i="1"/>
  <c r="G11" i="1" s="1"/>
  <c r="E13" i="1" l="1"/>
  <c r="F12" i="1"/>
  <c r="G12" i="1" s="1"/>
  <c r="E14" i="1" l="1"/>
  <c r="F13" i="1"/>
  <c r="G13" i="1" s="1"/>
  <c r="E15" i="1" l="1"/>
  <c r="F14" i="1"/>
  <c r="G14" i="1" s="1"/>
  <c r="E16" i="1" l="1"/>
  <c r="F15" i="1"/>
  <c r="G15" i="1" s="1"/>
  <c r="E17" i="1" l="1"/>
  <c r="F16" i="1"/>
  <c r="G16" i="1" s="1"/>
  <c r="E18" i="1" l="1"/>
  <c r="F17" i="1"/>
  <c r="G17" i="1" s="1"/>
  <c r="E19" i="1" l="1"/>
  <c r="F18" i="1"/>
  <c r="G18" i="1" s="1"/>
  <c r="E20" i="1" l="1"/>
  <c r="F19" i="1"/>
  <c r="G19" i="1" s="1"/>
  <c r="E21" i="1" l="1"/>
  <c r="F20" i="1"/>
  <c r="G20" i="1" s="1"/>
  <c r="E22" i="1" l="1"/>
  <c r="F21" i="1"/>
  <c r="G21" i="1" s="1"/>
  <c r="E23" i="1" l="1"/>
  <c r="F22" i="1"/>
  <c r="G22" i="1" s="1"/>
  <c r="E24" i="1" l="1"/>
  <c r="F23" i="1"/>
  <c r="G23" i="1" s="1"/>
  <c r="E25" i="1" l="1"/>
  <c r="F24" i="1"/>
  <c r="G24" i="1" s="1"/>
  <c r="F25" i="1" l="1"/>
  <c r="G25" i="1" s="1"/>
  <c r="E26" i="1"/>
  <c r="E27" i="1" l="1"/>
  <c r="F26" i="1"/>
  <c r="G26" i="1" s="1"/>
  <c r="E28" i="1" l="1"/>
  <c r="F27" i="1"/>
  <c r="G27" i="1" s="1"/>
  <c r="E29" i="1" l="1"/>
  <c r="F28" i="1"/>
  <c r="G28" i="1" s="1"/>
  <c r="E30" i="1" l="1"/>
  <c r="F29" i="1"/>
  <c r="G29" i="1" s="1"/>
  <c r="E31" i="1" l="1"/>
  <c r="F30" i="1"/>
  <c r="G30" i="1" s="1"/>
  <c r="E32" i="1" l="1"/>
  <c r="F31" i="1"/>
  <c r="G31" i="1" s="1"/>
</calcChain>
</file>

<file path=xl/sharedStrings.xml><?xml version="1.0" encoding="utf-8"?>
<sst xmlns="http://schemas.openxmlformats.org/spreadsheetml/2006/main" count="33" uniqueCount="32">
  <si>
    <t>Target Pace</t>
  </si>
  <si>
    <t>Race Distance</t>
  </si>
  <si>
    <t>Target Time</t>
  </si>
  <si>
    <t>Distance</t>
  </si>
  <si>
    <t>Target Elapsed</t>
  </si>
  <si>
    <t>Neg Split Pace</t>
  </si>
  <si>
    <t>Neg Split Elapsed</t>
  </si>
  <si>
    <t>Delta Elapsed</t>
  </si>
  <si>
    <t>Elapsed/distance</t>
  </si>
  <si>
    <t>Max Allowable Pace Delta for remainder of race</t>
  </si>
  <si>
    <t>Remaining distance</t>
  </si>
  <si>
    <t>Factored Pace delta for rest of race</t>
  </si>
  <si>
    <t>Recoverable time</t>
  </si>
  <si>
    <t>Execution factor</t>
  </si>
  <si>
    <t>Lower envelope factor</t>
  </si>
  <si>
    <t>Factored factored pace</t>
  </si>
  <si>
    <t>Lower envelope - BLUE</t>
  </si>
  <si>
    <t>LOWER ENVELOPE</t>
  </si>
  <si>
    <t>UPPER ENVELOPE</t>
  </si>
  <si>
    <t>Aggressiveness (s/km)</t>
  </si>
  <si>
    <t>Aggressiveness factor</t>
  </si>
  <si>
    <t>Controlled Start</t>
  </si>
  <si>
    <t>Main Race</t>
  </si>
  <si>
    <t>Start to Push</t>
  </si>
  <si>
    <t>Empty the tank</t>
  </si>
  <si>
    <t>End</t>
  </si>
  <si>
    <t>Ramp to main</t>
  </si>
  <si>
    <t>Main race pt2</t>
  </si>
  <si>
    <t>Ahead Envelope - RED</t>
  </si>
  <si>
    <t>Lower envelope - GREY</t>
  </si>
  <si>
    <t>Ahead Envelope - Yellow</t>
  </si>
  <si>
    <t>Yellow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</si>
</sst>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mm]:ss"/>
    <numFmt numFmtId="165" formatCode="[h]:mm:ss.0"/>
    <numFmt numFmtId="166" formatCode="0.0"/>
  </numFmts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6" fontId="0" fillId="0" borderId="0" xfId="0" applyNumberFormat="1"/>
    <xf numFmtId="0" fontId="0" fillId="4" borderId="0" xfId="0" applyFill="1"/>
    <xf numFmtId="165" fontId="0" fillId="0" borderId="0" xfId="0" applyNumberFormat="1"/>
    <xf numFmtId="0" fontId="1" fillId="3" borderId="0" xfId="0" applyFont="1" applyFill="1" applyAlignment="1">
      <alignment wrapText="1"/>
    </xf>
    <xf numFmtId="166" fontId="0" fillId="0" borderId="0" xfId="0" applyNumberFormat="1"/>
    <xf numFmtId="0" fontId="2" fillId="6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1" fillId="7" borderId="0" xfId="0" applyFont="1" applyFill="1" applyAlignment="1">
      <alignment horizontal="centerContinuous"/>
    </xf>
    <xf numFmtId="0" fontId="0" fillId="7" borderId="0" xfId="0" applyFill="1" applyAlignment="1">
      <alignment horizontal="centerContinuous"/>
    </xf>
    <xf numFmtId="0" fontId="1" fillId="8" borderId="0" xfId="0" applyFont="1" applyFill="1"/>
    <xf numFmtId="0" fontId="3" fillId="0" borderId="0" xfId="0" applyFont="1"/>
    <xf numFmtId="166" fontId="1" fillId="0" borderId="0" xfId="0" applyNumberFormat="1" applyFont="1"/>
    <xf numFmtId="0" fontId="2" fillId="8" borderId="0" xfId="0" applyFont="1" applyFill="1" applyAlignment="1">
      <alignment wrapText="1"/>
    </xf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Elapsed /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Negative Split Target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Sheet1!$A$11:$A$32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21.0975</c:v>
                </c:pt>
              </c:numCache>
            </c:numRef>
          </c:xVal>
          <c:yVal>
            <c:numRef>
              <c:f>Sheet1!$G$11:$G$32</c:f>
              <c:numCache>
                <c:formatCode>[mm]:ss</c:formatCode>
                <c:ptCount val="22"/>
                <c:pt idx="0">
                  <c:v>5.7870370370370454E-5</c:v>
                </c:pt>
                <c:pt idx="1">
                  <c:v>5.7870370370370454E-5</c:v>
                </c:pt>
                <c:pt idx="2">
                  <c:v>5.7870370370370745E-5</c:v>
                </c:pt>
                <c:pt idx="3">
                  <c:v>4.3402777777777624E-5</c:v>
                </c:pt>
                <c:pt idx="4">
                  <c:v>3.47222222222221E-5</c:v>
                </c:pt>
                <c:pt idx="5">
                  <c:v>2.8935185185185081E-5</c:v>
                </c:pt>
                <c:pt idx="6">
                  <c:v>2.4801587301587213E-5</c:v>
                </c:pt>
                <c:pt idx="7">
                  <c:v>2.1701388888888812E-5</c:v>
                </c:pt>
                <c:pt idx="8">
                  <c:v>1.9290123456789669E-5</c:v>
                </c:pt>
                <c:pt idx="9">
                  <c:v>1.736111111111105E-5</c:v>
                </c:pt>
                <c:pt idx="10">
                  <c:v>1.5782828282828225E-5</c:v>
                </c:pt>
                <c:pt idx="11">
                  <c:v>1.4467592592592541E-5</c:v>
                </c:pt>
                <c:pt idx="12">
                  <c:v>1.3354700854700807E-5</c:v>
                </c:pt>
                <c:pt idx="13">
                  <c:v>1.2400793650793607E-5</c:v>
                </c:pt>
                <c:pt idx="14">
                  <c:v>1.1574074074074033E-5</c:v>
                </c:pt>
                <c:pt idx="15">
                  <c:v>1.0850694444444406E-5</c:v>
                </c:pt>
                <c:pt idx="16">
                  <c:v>8.1699346405229291E-6</c:v>
                </c:pt>
                <c:pt idx="17">
                  <c:v>5.7870370370371706E-6</c:v>
                </c:pt>
                <c:pt idx="18">
                  <c:v>3.6549707602344896E-6</c:v>
                </c:pt>
                <c:pt idx="19">
                  <c:v>1.7361111111113825E-6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8F-403F-B601-A0DBDBFBF4A3}"/>
            </c:ext>
          </c:extLst>
        </c:ser>
        <c:ser>
          <c:idx val="1"/>
          <c:order val="1"/>
          <c:tx>
            <c:strRef>
              <c:f>Sheet1!$L$10</c:f>
              <c:strCache>
                <c:ptCount val="1"/>
                <c:pt idx="0">
                  <c:v>Lower envelope - GREY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Sheet1!$A$11:$A$32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21.0975</c:v>
                </c:pt>
              </c:numCache>
            </c:numRef>
          </c:xVal>
          <c:yVal>
            <c:numRef>
              <c:f>Sheet1!$L$11:$L$32</c:f>
              <c:numCache>
                <c:formatCode>[h]:mm:ss</c:formatCode>
                <c:ptCount val="22"/>
                <c:pt idx="0">
                  <c:v>1.1630497685185187E-4</c:v>
                </c:pt>
                <c:pt idx="1">
                  <c:v>1.215697337962963E-4</c:v>
                </c:pt>
                <c:pt idx="2">
                  <c:v>1.2567708333333333E-4</c:v>
                </c:pt>
                <c:pt idx="3">
                  <c:v>1.484157986111111E-4</c:v>
                </c:pt>
                <c:pt idx="4">
                  <c:v>1.8631365740740742E-4</c:v>
                </c:pt>
                <c:pt idx="5">
                  <c:v>2.4463541666666671E-4</c:v>
                </c:pt>
                <c:pt idx="6">
                  <c:v>2.855396412037037E-4</c:v>
                </c:pt>
                <c:pt idx="7">
                  <c:v>3.1076244212962958E-4</c:v>
                </c:pt>
                <c:pt idx="8">
                  <c:v>3.3604166666666667E-4</c:v>
                </c:pt>
                <c:pt idx="9">
                  <c:v>3.532190393518519E-4</c:v>
                </c:pt>
                <c:pt idx="10">
                  <c:v>3.5060763888888891E-4</c:v>
                </c:pt>
                <c:pt idx="11">
                  <c:v>3.4220920138888891E-4</c:v>
                </c:pt>
                <c:pt idx="12">
                  <c:v>3.2802372685185186E-4</c:v>
                </c:pt>
                <c:pt idx="13">
                  <c:v>3.080512152777778E-4</c:v>
                </c:pt>
                <c:pt idx="14">
                  <c:v>2.893489583333333E-4</c:v>
                </c:pt>
                <c:pt idx="15">
                  <c:v>2.654947916666667E-4</c:v>
                </c:pt>
                <c:pt idx="16">
                  <c:v>2.1341145833333336E-4</c:v>
                </c:pt>
                <c:pt idx="17">
                  <c:v>1.6132812500000004E-4</c:v>
                </c:pt>
                <c:pt idx="18">
                  <c:v>1.0924479166666668E-4</c:v>
                </c:pt>
                <c:pt idx="19">
                  <c:v>6.351273148148149E-5</c:v>
                </c:pt>
                <c:pt idx="20">
                  <c:v>5.6423611111111193E-6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8F-403F-B601-A0DBDBFBF4A3}"/>
            </c:ext>
          </c:extLst>
        </c:ser>
        <c:ser>
          <c:idx val="4"/>
          <c:order val="2"/>
          <c:tx>
            <c:strRef>
              <c:f>Sheet1!$P$10</c:f>
              <c:strCache>
                <c:ptCount val="1"/>
                <c:pt idx="0">
                  <c:v>Lower envelope - BLUE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Sheet1!$A$11:$A$32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21.0975</c:v>
                </c:pt>
              </c:numCache>
            </c:numRef>
          </c:xVal>
          <c:yVal>
            <c:numRef>
              <c:f>Sheet1!$P$11:$P$32</c:f>
              <c:numCache>
                <c:formatCode>[h]:mm:ss.0</c:formatCode>
                <c:ptCount val="22"/>
                <c:pt idx="0">
                  <c:v>8.72287326388889E-5</c:v>
                </c:pt>
                <c:pt idx="1">
                  <c:v>9.1177300347222216E-5</c:v>
                </c:pt>
                <c:pt idx="2">
                  <c:v>9.4257812499999995E-5</c:v>
                </c:pt>
                <c:pt idx="3">
                  <c:v>9.6470269097222237E-5</c:v>
                </c:pt>
                <c:pt idx="4">
                  <c:v>1.024725115740741E-4</c:v>
                </c:pt>
                <c:pt idx="5">
                  <c:v>1.2231770833333335E-4</c:v>
                </c:pt>
                <c:pt idx="6">
                  <c:v>1.4276982060185185E-4</c:v>
                </c:pt>
                <c:pt idx="7">
                  <c:v>1.5538122106481479E-4</c:v>
                </c:pt>
                <c:pt idx="8">
                  <c:v>1.6802083333333334E-4</c:v>
                </c:pt>
                <c:pt idx="9">
                  <c:v>1.7660951967592595E-4</c:v>
                </c:pt>
                <c:pt idx="10">
                  <c:v>1.7530381944444445E-4</c:v>
                </c:pt>
                <c:pt idx="11">
                  <c:v>1.7110460069444446E-4</c:v>
                </c:pt>
                <c:pt idx="12">
                  <c:v>1.6401186342592593E-4</c:v>
                </c:pt>
                <c:pt idx="13">
                  <c:v>1.540256076388889E-4</c:v>
                </c:pt>
                <c:pt idx="14">
                  <c:v>1.4467447916666665E-4</c:v>
                </c:pt>
                <c:pt idx="15">
                  <c:v>1.3274739583333335E-4</c:v>
                </c:pt>
                <c:pt idx="16">
                  <c:v>1.0670572916666668E-4</c:v>
                </c:pt>
                <c:pt idx="17">
                  <c:v>8.066406250000002E-5</c:v>
                </c:pt>
                <c:pt idx="18">
                  <c:v>5.4622395833333342E-5</c:v>
                </c:pt>
                <c:pt idx="19">
                  <c:v>3.1756365740740745E-5</c:v>
                </c:pt>
                <c:pt idx="20">
                  <c:v>2.8211805555555597E-6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8F-403F-B601-A0DBDBFBF4A3}"/>
            </c:ext>
          </c:extLst>
        </c:ser>
        <c:ser>
          <c:idx val="2"/>
          <c:order val="3"/>
          <c:tx>
            <c:strRef>
              <c:f>Sheet1!$T$10</c:f>
              <c:strCache>
                <c:ptCount val="1"/>
                <c:pt idx="0">
                  <c:v>Ahead Envelope - RED</c:v>
                </c:pt>
              </c:strCache>
            </c:strRef>
          </c:tx>
          <c:spPr>
            <a:ln w="19050" cap="rnd">
              <a:solidFill>
                <a:srgbClr val="DC241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C241F"/>
              </a:solidFill>
              <a:ln w="9525">
                <a:solidFill>
                  <a:srgbClr val="DC241F"/>
                </a:solidFill>
              </a:ln>
              <a:effectLst/>
            </c:spPr>
          </c:marker>
          <c:xVal>
            <c:numRef>
              <c:f>Sheet1!$A$11:$A$32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21.0975</c:v>
                </c:pt>
              </c:numCache>
            </c:numRef>
          </c:xVal>
          <c:yVal>
            <c:numRef>
              <c:f>Sheet1!$T$11:$T$32</c:f>
              <c:numCache>
                <c:formatCode>[mm]:ss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-2.314814814814815E-5</c:v>
                </c:pt>
                <c:pt idx="3">
                  <c:v>-2.8935185185185186E-5</c:v>
                </c:pt>
                <c:pt idx="4">
                  <c:v>-3.4722222222222222E-5</c:v>
                </c:pt>
                <c:pt idx="5">
                  <c:v>-4.0509259259259258E-5</c:v>
                </c:pt>
                <c:pt idx="6">
                  <c:v>-4.6296296296296301E-5</c:v>
                </c:pt>
                <c:pt idx="7">
                  <c:v>-5.2083333333333337E-5</c:v>
                </c:pt>
                <c:pt idx="8">
                  <c:v>-5.7870370370370373E-5</c:v>
                </c:pt>
                <c:pt idx="9">
                  <c:v>-5.7870370370370373E-5</c:v>
                </c:pt>
                <c:pt idx="10">
                  <c:v>-5.7870370370370373E-5</c:v>
                </c:pt>
                <c:pt idx="11">
                  <c:v>-5.7870370370370373E-5</c:v>
                </c:pt>
                <c:pt idx="12">
                  <c:v>-5.7870370370370373E-5</c:v>
                </c:pt>
                <c:pt idx="13">
                  <c:v>-5.7870370370370373E-5</c:v>
                </c:pt>
                <c:pt idx="14">
                  <c:v>-5.7870370370370373E-5</c:v>
                </c:pt>
                <c:pt idx="15">
                  <c:v>-7.5231481481481487E-5</c:v>
                </c:pt>
                <c:pt idx="16">
                  <c:v>-1.1574074074074075E-4</c:v>
                </c:pt>
                <c:pt idx="17">
                  <c:v>-1.4467592592592592E-4</c:v>
                </c:pt>
                <c:pt idx="18">
                  <c:v>-1.7361111111111112E-4</c:v>
                </c:pt>
                <c:pt idx="19">
                  <c:v>-1.7361111111111112E-4</c:v>
                </c:pt>
                <c:pt idx="20">
                  <c:v>-1.7361111111111112E-4</c:v>
                </c:pt>
                <c:pt idx="21">
                  <c:v>-1.7361111111111112E-4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20-4F9D-A325-72F53C5E0E4F}"/>
            </c:ext>
          </c:extLst>
        </c:ser>
        <c:ser>
          <c:idx val="3"/>
          <c:order val="4"/>
          <c:tx>
            <c:strRef>
              <c:f>Sheet1!$V$10</c:f>
              <c:strCache>
                <c:ptCount val="1"/>
                <c:pt idx="0">
                  <c:v>Ahead Envelope - Yellow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Sheet1!$A$11:$A$32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21.0975</c:v>
                </c:pt>
              </c:numCache>
            </c:numRef>
          </c:xVal>
          <c:yVal>
            <c:numRef>
              <c:f>Sheet1!$V$11:$V$32</c:f>
              <c:numCache>
                <c:formatCode>[mm]:ss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-7.2337962962962966E-6</c:v>
                </c:pt>
                <c:pt idx="4">
                  <c:v>-1.7361111111111111E-5</c:v>
                </c:pt>
                <c:pt idx="5">
                  <c:v>-2.0254629629629629E-5</c:v>
                </c:pt>
                <c:pt idx="6">
                  <c:v>-2.314814814814815E-5</c:v>
                </c:pt>
                <c:pt idx="7">
                  <c:v>-2.6041666666666668E-5</c:v>
                </c:pt>
                <c:pt idx="8">
                  <c:v>-3.4722222222222222E-5</c:v>
                </c:pt>
                <c:pt idx="9">
                  <c:v>-3.4722222222222222E-5</c:v>
                </c:pt>
                <c:pt idx="10">
                  <c:v>-3.4722222222222222E-5</c:v>
                </c:pt>
                <c:pt idx="11">
                  <c:v>-3.4722222222222222E-5</c:v>
                </c:pt>
                <c:pt idx="12">
                  <c:v>-3.4722222222222222E-5</c:v>
                </c:pt>
                <c:pt idx="13">
                  <c:v>-3.4722222222222222E-5</c:v>
                </c:pt>
                <c:pt idx="14">
                  <c:v>-3.4722222222222222E-5</c:v>
                </c:pt>
                <c:pt idx="15">
                  <c:v>-4.5138888888888894E-5</c:v>
                </c:pt>
                <c:pt idx="16">
                  <c:v>-6.9444444444444444E-5</c:v>
                </c:pt>
                <c:pt idx="17">
                  <c:v>-1.0127314814814813E-4</c:v>
                </c:pt>
                <c:pt idx="18">
                  <c:v>-1.3888888888888889E-4</c:v>
                </c:pt>
                <c:pt idx="19">
                  <c:v>-1.5625E-4</c:v>
                </c:pt>
                <c:pt idx="20">
                  <c:v>-1.5625E-4</c:v>
                </c:pt>
                <c:pt idx="21">
                  <c:v>-1.5625E-4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2-4604-BD64-68DB44048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856328"/>
        <c:axId val="536040672"/>
      </c:scatterChart>
      <c:valAx>
        <c:axId val="769856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Distance [km]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40672"/>
        <c:crosses val="autoZero"/>
        <c:crossBetween val="midCat"/>
      </c:valAx>
      <c:valAx>
        <c:axId val="5360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Elapsed /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mm]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856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428904</xdr:colOff>
      <xdr:row>10</xdr:row>
      <xdr:rowOff>173128</xdr:rowOff>
    </xdr:from>
    <xdr:to>
      <xdr:col>17</xdr:col>
      <xdr:colOff>257735</xdr:colOff>
      <xdr:row>36</xdr:row>
      <xdr:rowOff>11204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1B096-2B8E-E2D1-CA3D-4E8015C5D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Ricardo Excel Template">
  <a:themeElements>
    <a:clrScheme name="Ricardo Excel Colour Theme">
      <a:dk1>
        <a:sysClr val="windowText" lastClr="000000"/>
      </a:dk1>
      <a:lt1>
        <a:sysClr val="window" lastClr="FFFFFF"/>
      </a:lt1>
      <a:dk2>
        <a:srgbClr val="00307E"/>
      </a:dk2>
      <a:lt2>
        <a:srgbClr val="DDDDDD"/>
      </a:lt2>
      <a:accent1>
        <a:srgbClr val="006BB7"/>
      </a:accent1>
      <a:accent2>
        <a:srgbClr val="DC241F"/>
      </a:accent2>
      <a:accent3>
        <a:srgbClr val="99CCFF"/>
      </a:accent3>
      <a:accent4>
        <a:srgbClr val="92499E"/>
      </a:accent4>
      <a:accent5>
        <a:srgbClr val="7EB542"/>
      </a:accent5>
      <a:accent6>
        <a:srgbClr val="E47E00"/>
      </a:accent6>
      <a:hlink>
        <a:srgbClr val="006BB7"/>
      </a:hlink>
      <a:folHlink>
        <a:srgbClr val="A7A9AC"/>
      </a:folHlink>
    </a:clrScheme>
    <a:fontScheme name="Ricard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bg1"/>
        </a:solidFill>
        <a:ln w="6350" cap="flat" cmpd="sng" algn="ctr">
          <a:solidFill>
            <a:srgbClr val="A7A9AC"/>
          </a:solidFill>
          <a:prstDash val="solid"/>
          <a:miter/>
          <a:headEnd type="none" w="sm" len="lg"/>
          <a:tailEnd type="none" w="sm" len="lg"/>
        </a:ln>
        <a:effectLst/>
      </a:spPr>
      <a:bodyPr vert="horz" wrap="none" lIns="72000" tIns="72000" rIns="72000" bIns="72000" numCol="1" anchor="ctr" anchorCtr="0" compatLnSpc="1">
        <a:prstTxWarp prst="textNoShape">
          <a:avLst/>
        </a:prstTxWarp>
      </a:bodyPr>
      <a:lstStyle>
        <a:defPPr marL="0" marR="0" indent="0" algn="ctr" defTabSz="7620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1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bg1"/>
        </a:solidFill>
        <a:ln w="6350" cap="flat" cmpd="sng" algn="ctr">
          <a:solidFill>
            <a:srgbClr val="A7A9AC"/>
          </a:solidFill>
          <a:prstDash val="solid"/>
          <a:miter/>
          <a:headEnd type="none" w="sm" len="lg"/>
          <a:tailEnd type="none" w="sm" len="lg"/>
        </a:ln>
        <a:effectLst/>
      </a:spPr>
      <a:bodyPr vert="horz" wrap="none" lIns="72000" tIns="72000" rIns="72000" bIns="72000" numCol="1" anchor="ctr" anchorCtr="0" compatLnSpc="1">
        <a:prstTxWarp prst="textNoShape">
          <a:avLst/>
        </a:prstTxWarp>
      </a:bodyPr>
      <a:lstStyle>
        <a:defPPr marL="0" marR="0" indent="0" algn="ctr" defTabSz="7620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1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</a:objectDefaults>
  <a:extraClrSchemeLst>
    <a:extraClrScheme>
      <a:clrScheme name="Ricardo Excel Colour Theme">
        <a:dk1>
          <a:sysClr val="windowText" lastClr="000000"/>
        </a:dk1>
        <a:lt1>
          <a:sysClr val="window" lastClr="FFFFFF"/>
        </a:lt1>
        <a:dk2>
          <a:srgbClr val="00307E"/>
        </a:dk2>
        <a:lt2>
          <a:srgbClr val="DDDDDD"/>
        </a:lt2>
        <a:accent1>
          <a:srgbClr val="006BB7"/>
        </a:accent1>
        <a:accent2>
          <a:srgbClr val="DC241F"/>
        </a:accent2>
        <a:accent3>
          <a:srgbClr val="99CCFF"/>
        </a:accent3>
        <a:accent4>
          <a:srgbClr val="92499E"/>
        </a:accent4>
        <a:accent5>
          <a:srgbClr val="7EB542"/>
        </a:accent5>
        <a:accent6>
          <a:srgbClr val="E47E00"/>
        </a:accent6>
        <a:hlink>
          <a:srgbClr val="006BB7"/>
        </a:hlink>
        <a:folHlink>
          <a:srgbClr val="A7A9AC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custClrLst>
    <a:custClr name="Ricardo Logo Blue RGB(0, 107, 183)">
      <a:srgbClr val="006BB7"/>
    </a:custClr>
    <a:custClr name="Ricardo Logo Grey RGB(167, 169, 172)">
      <a:srgbClr val="A7A9AC"/>
    </a:custClr>
    <a:custClr name="Ricardo Light Blue RGB(153, 204, 255)">
      <a:srgbClr val="99CCFF"/>
    </a:custClr>
    <a:custClr name="Ricardo Light Grey RGB(221, 221, 221)">
      <a:srgbClr val="DDDDDD"/>
    </a:custClr>
    <a:custClr name="Ricardo Dark Blue RGB(0, 48, 126)">
      <a:srgbClr val="00307E"/>
    </a:custClr>
    <a:custClr name="Ricardo Dark Grey (50%) RGB(128, 128, 128)">
      <a:srgbClr val="808080"/>
    </a:custClr>
    <a:custClr name="Ricardo Off Blue RGB(89, 166, 213)">
      <a:srgbClr val="59A6D5"/>
    </a:custClr>
    <a:custClr name="Ricardo Grey (75%) RGB(192, 192, 192)">
      <a:srgbClr val="C0C0C0"/>
    </a:custClr>
    <a:custClr name="Ricardo Other Blue RGB(55, 111, 167)">
      <a:srgbClr val="376FA7"/>
    </a:custClr>
    <a:custClr name="Ricardo Grey (60%) RGB(150, 150, 150)">
      <a:srgbClr val="969696"/>
    </a:custClr>
    <a:custClr name="Black RGB(0, 0, 0)">
      <a:srgbClr val="000000"/>
    </a:custClr>
    <a:custClr name="White RGB(255, 255, 255)">
      <a:srgbClr val="FFFFFF"/>
    </a:custClr>
    <a:custClr name="Ricardo Red RGB(220, 36, 31)">
      <a:srgbClr val="DC241F"/>
    </a:custClr>
    <a:custClr name="Ricardo Orange RGB(228, 126, 0)">
      <a:srgbClr val="E47E00"/>
    </a:custClr>
    <a:custClr name="Ricardo Yellow RGB(250, 230, 0)">
      <a:srgbClr val="FAE600"/>
    </a:custClr>
    <a:custClr name="Ricardo Green RGB(153, 202, 60)">
      <a:srgbClr val="99CA3C"/>
    </a:custClr>
    <a:custClr name="Ricardo-AEA Green RGB(70, 156, 35)">
      <a:srgbClr val="469C23"/>
    </a:custClr>
    <a:custClr name="Ricardo Purple RGB(146, 73, 158)">
      <a:srgbClr val="92499E"/>
    </a:custClr>
    <a:custClr name="Ricardo Background Very Dark Grey RGB(77, 77, 79)">
      <a:srgbClr val="4D4D4F"/>
    </a:custClr>
  </a:custClr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zoomScale="85" zoomScaleNormal="85" workbookViewId="0">
      <pane xSplit="7" ySplit="10" topLeftCell="H11" activePane="bottomRight" state="frozen"/>
      <selection pane="topRight" activeCell="H1" sqref="H1"/>
      <selection pane="bottomLeft" activeCell="A6" sqref="A6"/>
      <selection pane="bottomRight" activeCell="G3" sqref="G3"/>
    </sheetView>
  </sheetViews>
  <sheetFormatPr defaultRowHeight="14.25" x14ac:dyDescent="0.2"/>
  <cols>
    <col min="2" max="2" width="13.125" bestFit="1" customWidth="1"/>
    <col min="3" max="3" width="13.375" bestFit="1" customWidth="1"/>
    <col min="4" max="4" width="13" bestFit="1" customWidth="1"/>
    <col min="5" max="5" width="16.25" customWidth="1"/>
    <col min="6" max="6" width="14.125" customWidth="1"/>
    <col min="7" max="7" width="16.125" bestFit="1" customWidth="1"/>
    <col min="8" max="8" width="16.875" customWidth="1"/>
    <col min="9" max="9" width="11" customWidth="1"/>
    <col min="13" max="13" width="15.375" customWidth="1"/>
    <col min="14" max="14" width="9.375" bestFit="1" customWidth="1"/>
    <col min="15" max="15" width="9.375" customWidth="1"/>
    <col min="16" max="16" width="12.875" customWidth="1"/>
    <col min="17" max="17" width="2.125" customWidth="1"/>
    <col min="18" max="18" width="18.25" bestFit="1" customWidth="1"/>
  </cols>
  <sheetData>
    <row r="1" spans="1:22" x14ac:dyDescent="0.2">
      <c r="A1" t="s">
        <v>1</v>
      </c>
      <c r="B1">
        <v>21.0975</v>
      </c>
      <c r="D1" t="s">
        <v>21</v>
      </c>
      <c r="E1">
        <v>0</v>
      </c>
    </row>
    <row r="2" spans="1:22" x14ac:dyDescent="0.2">
      <c r="A2" t="s">
        <v>2</v>
      </c>
      <c r="B2" s="1">
        <v>7.2916666666666671E-2</v>
      </c>
      <c r="D2" s="16" t="s">
        <v>26</v>
      </c>
      <c r="E2">
        <f>E3-1</f>
        <v>2</v>
      </c>
    </row>
    <row r="3" spans="1:22" x14ac:dyDescent="0.2">
      <c r="A3" t="s">
        <v>0</v>
      </c>
      <c r="B3" s="1">
        <f>B2/B1</f>
        <v>3.4561756922226175E-3</v>
      </c>
      <c r="D3" t="s">
        <v>22</v>
      </c>
      <c r="E3">
        <v>3</v>
      </c>
    </row>
    <row r="4" spans="1:22" x14ac:dyDescent="0.2">
      <c r="B4" s="1"/>
      <c r="D4" s="16" t="s">
        <v>27</v>
      </c>
      <c r="E4">
        <f>(E5+E3)/2</f>
        <v>9</v>
      </c>
    </row>
    <row r="5" spans="1:22" x14ac:dyDescent="0.2">
      <c r="B5" s="1"/>
      <c r="D5" t="s">
        <v>23</v>
      </c>
      <c r="E5">
        <v>15</v>
      </c>
    </row>
    <row r="6" spans="1:22" x14ac:dyDescent="0.2">
      <c r="B6" s="1"/>
      <c r="D6" t="s">
        <v>24</v>
      </c>
      <c r="E6">
        <v>18</v>
      </c>
    </row>
    <row r="7" spans="1:22" x14ac:dyDescent="0.2">
      <c r="B7" s="1"/>
      <c r="D7" t="s">
        <v>25</v>
      </c>
      <c r="E7">
        <f>B1</f>
        <v>21.0975</v>
      </c>
    </row>
    <row r="8" spans="1:22" x14ac:dyDescent="0.2">
      <c r="B8" s="1"/>
    </row>
    <row r="9" spans="1:22" ht="15" x14ac:dyDescent="0.25">
      <c r="H9" s="13" t="s">
        <v>17</v>
      </c>
      <c r="I9" s="14"/>
      <c r="J9" s="14"/>
      <c r="K9" s="14"/>
      <c r="L9" s="14"/>
      <c r="M9" s="14"/>
      <c r="N9" s="14"/>
      <c r="O9" s="14"/>
      <c r="P9" s="14"/>
      <c r="R9" s="15" t="s">
        <v>18</v>
      </c>
    </row>
    <row r="10" spans="1:22" s="5" customFormat="1" ht="60" x14ac:dyDescent="0.25">
      <c r="A10" s="4" t="s">
        <v>3</v>
      </c>
      <c r="B10" s="4" t="s">
        <v>0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 t="s">
        <v>12</v>
      </c>
      <c r="K10" s="4" t="s">
        <v>13</v>
      </c>
      <c r="L10" s="11" t="s">
        <v>29</v>
      </c>
      <c r="M10" s="9" t="s">
        <v>11</v>
      </c>
      <c r="N10" s="4" t="s">
        <v>14</v>
      </c>
      <c r="O10" s="4" t="s">
        <v>15</v>
      </c>
      <c r="P10" s="12" t="s">
        <v>16</v>
      </c>
      <c r="R10" s="5" t="s">
        <v>19</v>
      </c>
      <c r="S10" s="5" t="s">
        <v>20</v>
      </c>
      <c r="T10" s="18" t="s">
        <v>28</v>
      </c>
      <c r="U10" s="5" t="s">
        <v>31</v>
      </c>
      <c r="V10" s="19" t="s">
        <v>30</v>
      </c>
    </row>
    <row r="11" spans="1:22" x14ac:dyDescent="0.2">
      <c r="A11">
        <v>1</v>
      </c>
      <c r="B11" s="1">
        <f>$B$3</f>
        <v>3.4561756922226175E-3</v>
      </c>
      <c r="C11" s="1">
        <f>B11*$A11</f>
        <v>3.4561756922226175E-3</v>
      </c>
      <c r="D11" s="2">
        <f>B11+TIME(0,0,5)</f>
        <v>3.5140460625929879E-3</v>
      </c>
      <c r="E11" s="1">
        <f>D11*$A11</f>
        <v>3.5140460625929879E-3</v>
      </c>
      <c r="F11" s="1">
        <f>E11-C11</f>
        <v>5.7870370370370454E-5</v>
      </c>
      <c r="G11" s="1">
        <f>F11/A11</f>
        <v>5.7870370370370454E-5</v>
      </c>
      <c r="H11" s="1">
        <v>5.7870370370370373E-5</v>
      </c>
      <c r="I11">
        <f>$A$32-A11</f>
        <v>20.0975</v>
      </c>
      <c r="J11" s="6">
        <f>H11*I11</f>
        <v>1.1630497685185186E-3</v>
      </c>
      <c r="K11">
        <v>0.1</v>
      </c>
      <c r="L11" s="6">
        <f>K11*J11</f>
        <v>1.1630497685185187E-4</v>
      </c>
      <c r="M11" s="8">
        <f>L11/I11</f>
        <v>5.7870370370370376E-6</v>
      </c>
      <c r="N11" s="10">
        <v>0.75</v>
      </c>
      <c r="O11" s="8">
        <f>N11*M11</f>
        <v>4.3402777777777786E-6</v>
      </c>
      <c r="P11" s="8">
        <f>M11*N11*I11</f>
        <v>8.72287326388889E-5</v>
      </c>
      <c r="R11" s="1">
        <v>5.7870370370370373E-5</v>
      </c>
      <c r="S11" s="10">
        <v>0</v>
      </c>
      <c r="T11" s="1">
        <f>R11*S11*-1</f>
        <v>0</v>
      </c>
      <c r="U11">
        <v>0.5</v>
      </c>
      <c r="V11" s="1">
        <f>T11*U11</f>
        <v>0</v>
      </c>
    </row>
    <row r="12" spans="1:22" ht="15" x14ac:dyDescent="0.25">
      <c r="A12">
        <v>2</v>
      </c>
      <c r="B12" s="1">
        <f>$B$3</f>
        <v>3.4561756922226175E-3</v>
      </c>
      <c r="C12" s="1">
        <f>C11+(B12*($A12-$A11))</f>
        <v>6.9123513844452349E-3</v>
      </c>
      <c r="D12" s="2">
        <f t="shared" ref="D12:D13" si="0">B12+TIME(0,0,5)</f>
        <v>3.5140460625929879E-3</v>
      </c>
      <c r="E12" s="1">
        <f>E11+(D12*($A12-$A11))</f>
        <v>7.0280921251859758E-3</v>
      </c>
      <c r="F12" s="1">
        <f t="shared" ref="F12:F31" si="1">E12-C12</f>
        <v>1.1574074074074091E-4</v>
      </c>
      <c r="G12" s="1">
        <f t="shared" ref="G12:G32" si="2">F12/A12</f>
        <v>5.7870370370370454E-5</v>
      </c>
      <c r="H12" s="1">
        <v>5.7870370370370373E-5</v>
      </c>
      <c r="I12">
        <f t="shared" ref="I12:I32" si="3">$A$32-A12</f>
        <v>19.0975</v>
      </c>
      <c r="J12" s="6">
        <f t="shared" ref="J12:J32" si="4">H12*I12</f>
        <v>1.1051793981481481E-3</v>
      </c>
      <c r="K12">
        <v>0.11</v>
      </c>
      <c r="L12" s="6">
        <f t="shared" ref="L12:L32" si="5">K12*J12</f>
        <v>1.215697337962963E-4</v>
      </c>
      <c r="M12" s="8">
        <f t="shared" ref="M12:M31" si="6">L12/I12</f>
        <v>6.3657407407407403E-6</v>
      </c>
      <c r="N12" s="10">
        <v>0.75</v>
      </c>
      <c r="O12" s="8">
        <f t="shared" ref="O12:O32" si="7">N12*M12</f>
        <v>4.7743055555555555E-6</v>
      </c>
      <c r="P12" s="8">
        <f t="shared" ref="P12:P32" si="8">M12*N12*I12</f>
        <v>9.1177300347222216E-5</v>
      </c>
      <c r="R12" s="1">
        <v>5.7870370370370373E-5</v>
      </c>
      <c r="S12" s="17">
        <v>0</v>
      </c>
      <c r="T12" s="1">
        <f t="shared" ref="T12:T32" si="9">R12*S12*-1</f>
        <v>0</v>
      </c>
      <c r="U12">
        <v>0.5</v>
      </c>
      <c r="V12" s="1">
        <f t="shared" ref="V12:V32" si="10">T12*U12</f>
        <v>0</v>
      </c>
    </row>
    <row r="13" spans="1:22" ht="15" x14ac:dyDescent="0.25">
      <c r="A13">
        <v>3</v>
      </c>
      <c r="B13" s="1">
        <f t="shared" ref="B13:B32" si="11">$B$3</f>
        <v>3.4561756922226175E-3</v>
      </c>
      <c r="C13" s="1">
        <f t="shared" ref="C13:E32" si="12">C12+(B13*($A13-$A12))</f>
        <v>1.0368527076667852E-2</v>
      </c>
      <c r="D13" s="2">
        <f t="shared" si="0"/>
        <v>3.5140460625929879E-3</v>
      </c>
      <c r="E13" s="1">
        <f t="shared" si="12"/>
        <v>1.0542138187778964E-2</v>
      </c>
      <c r="F13" s="1">
        <f t="shared" si="1"/>
        <v>1.7361111111111223E-4</v>
      </c>
      <c r="G13" s="1">
        <f t="shared" si="2"/>
        <v>5.7870370370370745E-5</v>
      </c>
      <c r="H13" s="1">
        <v>5.7870370370370373E-5</v>
      </c>
      <c r="I13">
        <f t="shared" si="3"/>
        <v>18.0975</v>
      </c>
      <c r="J13" s="6">
        <f t="shared" si="4"/>
        <v>1.0473090277777779E-3</v>
      </c>
      <c r="K13">
        <v>0.12</v>
      </c>
      <c r="L13" s="6">
        <f t="shared" si="5"/>
        <v>1.2567708333333333E-4</v>
      </c>
      <c r="M13" s="8">
        <f>L13/I13</f>
        <v>6.9444444444444439E-6</v>
      </c>
      <c r="N13" s="10">
        <v>0.75</v>
      </c>
      <c r="O13" s="8">
        <f t="shared" si="7"/>
        <v>5.2083333333333332E-6</v>
      </c>
      <c r="P13" s="8">
        <f t="shared" si="8"/>
        <v>9.4257812499999995E-5</v>
      </c>
      <c r="R13" s="1">
        <v>5.7870370370370373E-5</v>
      </c>
      <c r="S13" s="17">
        <v>0.4</v>
      </c>
      <c r="T13" s="1">
        <f t="shared" si="9"/>
        <v>-2.314814814814815E-5</v>
      </c>
      <c r="U13">
        <v>0</v>
      </c>
      <c r="V13" s="1">
        <f t="shared" si="10"/>
        <v>0</v>
      </c>
    </row>
    <row r="14" spans="1:22" x14ac:dyDescent="0.2">
      <c r="A14">
        <v>4</v>
      </c>
      <c r="B14" s="1">
        <f t="shared" si="11"/>
        <v>3.4561756922226175E-3</v>
      </c>
      <c r="C14" s="1">
        <f t="shared" si="12"/>
        <v>1.382470276889047E-2</v>
      </c>
      <c r="D14" s="1">
        <f>B14</f>
        <v>3.4561756922226175E-3</v>
      </c>
      <c r="E14" s="1">
        <f t="shared" si="12"/>
        <v>1.399831388000158E-2</v>
      </c>
      <c r="F14" s="1">
        <f t="shared" si="1"/>
        <v>1.7361111111111049E-4</v>
      </c>
      <c r="G14" s="1">
        <f t="shared" si="2"/>
        <v>4.3402777777777624E-5</v>
      </c>
      <c r="H14" s="1">
        <v>5.7870370370370373E-5</v>
      </c>
      <c r="I14">
        <f t="shared" si="3"/>
        <v>17.0975</v>
      </c>
      <c r="J14" s="6">
        <f t="shared" si="4"/>
        <v>9.8943865740740741E-4</v>
      </c>
      <c r="K14">
        <v>0.15</v>
      </c>
      <c r="L14" s="6">
        <f t="shared" si="5"/>
        <v>1.484157986111111E-4</v>
      </c>
      <c r="M14" s="8">
        <f t="shared" si="6"/>
        <v>8.6805555555555555E-6</v>
      </c>
      <c r="N14" s="10">
        <v>0.65</v>
      </c>
      <c r="O14" s="8">
        <f t="shared" si="7"/>
        <v>5.6423611111111117E-6</v>
      </c>
      <c r="P14" s="8">
        <f t="shared" si="8"/>
        <v>9.6470269097222237E-5</v>
      </c>
      <c r="R14" s="1">
        <v>5.7870370370370373E-5</v>
      </c>
      <c r="S14" s="10">
        <v>0.5</v>
      </c>
      <c r="T14" s="1">
        <f t="shared" si="9"/>
        <v>-2.8935185185185186E-5</v>
      </c>
      <c r="U14">
        <v>0.25</v>
      </c>
      <c r="V14" s="1">
        <f t="shared" si="10"/>
        <v>-7.2337962962962966E-6</v>
      </c>
    </row>
    <row r="15" spans="1:22" x14ac:dyDescent="0.2">
      <c r="A15">
        <v>5</v>
      </c>
      <c r="B15" s="1">
        <f t="shared" si="11"/>
        <v>3.4561756922226175E-3</v>
      </c>
      <c r="C15" s="1">
        <f t="shared" si="12"/>
        <v>1.7280878461113088E-2</v>
      </c>
      <c r="D15" s="1">
        <f t="shared" ref="D15:D26" si="13">B15</f>
        <v>3.4561756922226175E-3</v>
      </c>
      <c r="E15" s="1">
        <f t="shared" si="12"/>
        <v>1.7454489572224199E-2</v>
      </c>
      <c r="F15" s="1">
        <f t="shared" si="1"/>
        <v>1.7361111111111049E-4</v>
      </c>
      <c r="G15" s="1">
        <f>F15/A15</f>
        <v>3.47222222222221E-5</v>
      </c>
      <c r="H15" s="1">
        <v>5.7870370370370373E-5</v>
      </c>
      <c r="I15">
        <f t="shared" si="3"/>
        <v>16.0975</v>
      </c>
      <c r="J15" s="6">
        <f t="shared" si="4"/>
        <v>9.3156828703703707E-4</v>
      </c>
      <c r="K15">
        <v>0.2</v>
      </c>
      <c r="L15" s="6">
        <f t="shared" si="5"/>
        <v>1.8631365740740742E-4</v>
      </c>
      <c r="M15" s="8">
        <f t="shared" si="6"/>
        <v>1.1574074074074075E-5</v>
      </c>
      <c r="N15" s="10">
        <v>0.55000000000000004</v>
      </c>
      <c r="O15" s="8">
        <f t="shared" si="7"/>
        <v>6.365740740740742E-6</v>
      </c>
      <c r="P15" s="8">
        <f t="shared" si="8"/>
        <v>1.024725115740741E-4</v>
      </c>
      <c r="R15" s="1">
        <v>5.7870370370370373E-5</v>
      </c>
      <c r="S15" s="10">
        <v>0.6</v>
      </c>
      <c r="T15" s="1">
        <f t="shared" si="9"/>
        <v>-3.4722222222222222E-5</v>
      </c>
      <c r="U15">
        <v>0.5</v>
      </c>
      <c r="V15" s="1">
        <f t="shared" si="10"/>
        <v>-1.7361111111111111E-5</v>
      </c>
    </row>
    <row r="16" spans="1:22" x14ac:dyDescent="0.2">
      <c r="A16">
        <v>6</v>
      </c>
      <c r="B16" s="1">
        <f t="shared" si="11"/>
        <v>3.4561756922226175E-3</v>
      </c>
      <c r="C16" s="1">
        <f t="shared" si="12"/>
        <v>2.0737054153335707E-2</v>
      </c>
      <c r="D16" s="1">
        <f t="shared" si="13"/>
        <v>3.4561756922226175E-3</v>
      </c>
      <c r="E16" s="1">
        <f t="shared" si="12"/>
        <v>2.0910665264446817E-2</v>
      </c>
      <c r="F16" s="1">
        <f t="shared" si="1"/>
        <v>1.7361111111111049E-4</v>
      </c>
      <c r="G16" s="1">
        <f t="shared" si="2"/>
        <v>2.8935185185185081E-5</v>
      </c>
      <c r="H16" s="1">
        <v>5.7870370370370373E-5</v>
      </c>
      <c r="I16">
        <f t="shared" si="3"/>
        <v>15.0975</v>
      </c>
      <c r="J16" s="6">
        <f t="shared" si="4"/>
        <v>8.7369791666666672E-4</v>
      </c>
      <c r="K16" s="7">
        <v>0.28000000000000003</v>
      </c>
      <c r="L16" s="6">
        <f t="shared" si="5"/>
        <v>2.4463541666666671E-4</v>
      </c>
      <c r="M16" s="8">
        <f t="shared" si="6"/>
        <v>1.6203703703703707E-5</v>
      </c>
      <c r="N16" s="10">
        <v>0.5</v>
      </c>
      <c r="O16" s="8">
        <f t="shared" si="7"/>
        <v>8.1018518518518537E-6</v>
      </c>
      <c r="P16" s="8">
        <f t="shared" si="8"/>
        <v>1.2231770833333335E-4</v>
      </c>
      <c r="R16" s="1">
        <v>5.7870370370370373E-5</v>
      </c>
      <c r="S16" s="10">
        <v>0.7</v>
      </c>
      <c r="T16" s="1">
        <f t="shared" si="9"/>
        <v>-4.0509259259259258E-5</v>
      </c>
      <c r="U16">
        <v>0.5</v>
      </c>
      <c r="V16" s="1">
        <f t="shared" si="10"/>
        <v>-2.0254629629629629E-5</v>
      </c>
    </row>
    <row r="17" spans="1:22" x14ac:dyDescent="0.2">
      <c r="A17">
        <v>7</v>
      </c>
      <c r="B17" s="1">
        <f t="shared" si="11"/>
        <v>3.4561756922226175E-3</v>
      </c>
      <c r="C17" s="1">
        <f t="shared" si="12"/>
        <v>2.4193229845558325E-2</v>
      </c>
      <c r="D17" s="1">
        <f t="shared" si="13"/>
        <v>3.4561756922226175E-3</v>
      </c>
      <c r="E17" s="1">
        <f t="shared" si="12"/>
        <v>2.4366840956669435E-2</v>
      </c>
      <c r="F17" s="1">
        <f t="shared" si="1"/>
        <v>1.7361111111111049E-4</v>
      </c>
      <c r="G17" s="1">
        <f t="shared" si="2"/>
        <v>2.4801587301587213E-5</v>
      </c>
      <c r="H17" s="1">
        <v>5.7870370370370373E-5</v>
      </c>
      <c r="I17">
        <f t="shared" si="3"/>
        <v>14.0975</v>
      </c>
      <c r="J17" s="6">
        <f t="shared" si="4"/>
        <v>8.1582754629629637E-4</v>
      </c>
      <c r="K17">
        <v>0.35</v>
      </c>
      <c r="L17" s="6">
        <f t="shared" si="5"/>
        <v>2.855396412037037E-4</v>
      </c>
      <c r="M17" s="8">
        <f t="shared" si="6"/>
        <v>2.0254629629629629E-5</v>
      </c>
      <c r="N17" s="10">
        <v>0.5</v>
      </c>
      <c r="O17" s="8">
        <f t="shared" si="7"/>
        <v>1.0127314814814815E-5</v>
      </c>
      <c r="P17" s="8">
        <f t="shared" si="8"/>
        <v>1.4276982060185185E-4</v>
      </c>
      <c r="R17" s="1">
        <v>5.7870370370370373E-5</v>
      </c>
      <c r="S17" s="10">
        <v>0.8</v>
      </c>
      <c r="T17" s="1">
        <f t="shared" si="9"/>
        <v>-4.6296296296296301E-5</v>
      </c>
      <c r="U17">
        <v>0.5</v>
      </c>
      <c r="V17" s="1">
        <f t="shared" si="10"/>
        <v>-2.314814814814815E-5</v>
      </c>
    </row>
    <row r="18" spans="1:22" x14ac:dyDescent="0.2">
      <c r="A18">
        <v>8</v>
      </c>
      <c r="B18" s="1">
        <f t="shared" si="11"/>
        <v>3.4561756922226175E-3</v>
      </c>
      <c r="C18" s="1">
        <f t="shared" si="12"/>
        <v>2.7649405537780943E-2</v>
      </c>
      <c r="D18" s="1">
        <f t="shared" si="13"/>
        <v>3.4561756922226175E-3</v>
      </c>
      <c r="E18" s="1">
        <f t="shared" si="12"/>
        <v>2.7823016648892054E-2</v>
      </c>
      <c r="F18" s="1">
        <f t="shared" si="1"/>
        <v>1.7361111111111049E-4</v>
      </c>
      <c r="G18" s="1">
        <f t="shared" si="2"/>
        <v>2.1701388888888812E-5</v>
      </c>
      <c r="H18" s="1">
        <v>5.7870370370370373E-5</v>
      </c>
      <c r="I18">
        <f t="shared" si="3"/>
        <v>13.0975</v>
      </c>
      <c r="J18" s="6">
        <f t="shared" si="4"/>
        <v>7.5795717592592592E-4</v>
      </c>
      <c r="K18">
        <v>0.41</v>
      </c>
      <c r="L18" s="6">
        <f t="shared" si="5"/>
        <v>3.1076244212962958E-4</v>
      </c>
      <c r="M18" s="8">
        <f t="shared" si="6"/>
        <v>2.3726851851851847E-5</v>
      </c>
      <c r="N18" s="10">
        <v>0.5</v>
      </c>
      <c r="O18" s="8">
        <f t="shared" si="7"/>
        <v>1.1863425925925924E-5</v>
      </c>
      <c r="P18" s="8">
        <f t="shared" si="8"/>
        <v>1.5538122106481479E-4</v>
      </c>
      <c r="R18" s="1">
        <v>5.7870370370370373E-5</v>
      </c>
      <c r="S18" s="10">
        <v>0.9</v>
      </c>
      <c r="T18" s="1">
        <f t="shared" si="9"/>
        <v>-5.2083333333333337E-5</v>
      </c>
      <c r="U18">
        <v>0.5</v>
      </c>
      <c r="V18" s="1">
        <f t="shared" si="10"/>
        <v>-2.6041666666666668E-5</v>
      </c>
    </row>
    <row r="19" spans="1:22" ht="15" x14ac:dyDescent="0.25">
      <c r="A19">
        <v>9</v>
      </c>
      <c r="B19" s="1">
        <f t="shared" si="11"/>
        <v>3.4561756922226175E-3</v>
      </c>
      <c r="C19" s="1">
        <f t="shared" si="12"/>
        <v>3.1105581230003562E-2</v>
      </c>
      <c r="D19" s="1">
        <f t="shared" si="13"/>
        <v>3.4561756922226175E-3</v>
      </c>
      <c r="E19" s="1">
        <f t="shared" si="12"/>
        <v>3.1279192341114669E-2</v>
      </c>
      <c r="F19" s="1">
        <f t="shared" si="1"/>
        <v>1.7361111111110702E-4</v>
      </c>
      <c r="G19" s="1">
        <f t="shared" si="2"/>
        <v>1.9290123456789669E-5</v>
      </c>
      <c r="H19" s="1">
        <v>5.7870370370370373E-5</v>
      </c>
      <c r="I19">
        <f t="shared" si="3"/>
        <v>12.0975</v>
      </c>
      <c r="J19" s="6">
        <f t="shared" si="4"/>
        <v>7.0008680555555558E-4</v>
      </c>
      <c r="K19">
        <v>0.48</v>
      </c>
      <c r="L19" s="6">
        <f t="shared" si="5"/>
        <v>3.3604166666666667E-4</v>
      </c>
      <c r="M19" s="8">
        <f t="shared" si="6"/>
        <v>2.7777777777777779E-5</v>
      </c>
      <c r="N19" s="10">
        <v>0.5</v>
      </c>
      <c r="O19" s="8">
        <f t="shared" si="7"/>
        <v>1.388888888888889E-5</v>
      </c>
      <c r="P19" s="8">
        <f t="shared" si="8"/>
        <v>1.6802083333333334E-4</v>
      </c>
      <c r="R19" s="1">
        <v>5.7870370370370373E-5</v>
      </c>
      <c r="S19" s="17">
        <v>1</v>
      </c>
      <c r="T19" s="1">
        <f t="shared" si="9"/>
        <v>-5.7870370370370373E-5</v>
      </c>
      <c r="U19">
        <v>0.6</v>
      </c>
      <c r="V19" s="1">
        <f t="shared" si="10"/>
        <v>-3.4722222222222222E-5</v>
      </c>
    </row>
    <row r="20" spans="1:22" x14ac:dyDescent="0.2">
      <c r="A20">
        <v>10</v>
      </c>
      <c r="B20" s="1">
        <f t="shared" si="11"/>
        <v>3.4561756922226175E-3</v>
      </c>
      <c r="C20" s="1">
        <f t="shared" si="12"/>
        <v>3.4561756922226176E-2</v>
      </c>
      <c r="D20" s="1">
        <f t="shared" si="13"/>
        <v>3.4561756922226175E-3</v>
      </c>
      <c r="E20" s="1">
        <f t="shared" si="12"/>
        <v>3.4735368033337287E-2</v>
      </c>
      <c r="F20" s="1">
        <f t="shared" si="1"/>
        <v>1.7361111111111049E-4</v>
      </c>
      <c r="G20" s="1">
        <f t="shared" si="2"/>
        <v>1.736111111111105E-5</v>
      </c>
      <c r="H20" s="1">
        <v>5.7870370370370373E-5</v>
      </c>
      <c r="I20">
        <f t="shared" si="3"/>
        <v>11.0975</v>
      </c>
      <c r="J20" s="6">
        <f t="shared" si="4"/>
        <v>6.4221643518518523E-4</v>
      </c>
      <c r="K20">
        <v>0.55000000000000004</v>
      </c>
      <c r="L20" s="6">
        <f t="shared" si="5"/>
        <v>3.532190393518519E-4</v>
      </c>
      <c r="M20" s="8">
        <f t="shared" si="6"/>
        <v>3.1828703703703708E-5</v>
      </c>
      <c r="N20" s="10">
        <v>0.5</v>
      </c>
      <c r="O20" s="8">
        <f t="shared" si="7"/>
        <v>1.5914351851851854E-5</v>
      </c>
      <c r="P20" s="8">
        <f t="shared" si="8"/>
        <v>1.7660951967592595E-4</v>
      </c>
      <c r="R20" s="1">
        <v>5.7870370370370373E-5</v>
      </c>
      <c r="S20" s="10">
        <v>1</v>
      </c>
      <c r="T20" s="1">
        <f t="shared" si="9"/>
        <v>-5.7870370370370373E-5</v>
      </c>
      <c r="U20">
        <v>0.6</v>
      </c>
      <c r="V20" s="1">
        <f t="shared" si="10"/>
        <v>-3.4722222222222222E-5</v>
      </c>
    </row>
    <row r="21" spans="1:22" x14ac:dyDescent="0.2">
      <c r="A21">
        <v>11</v>
      </c>
      <c r="B21" s="1">
        <f t="shared" si="11"/>
        <v>3.4561756922226175E-3</v>
      </c>
      <c r="C21" s="1">
        <f t="shared" si="12"/>
        <v>3.8017932614448795E-2</v>
      </c>
      <c r="D21" s="1">
        <f t="shared" si="13"/>
        <v>3.4561756922226175E-3</v>
      </c>
      <c r="E21" s="1">
        <f t="shared" si="12"/>
        <v>3.8191543725559905E-2</v>
      </c>
      <c r="F21" s="1">
        <f t="shared" si="1"/>
        <v>1.7361111111111049E-4</v>
      </c>
      <c r="G21" s="1">
        <f t="shared" si="2"/>
        <v>1.5782828282828225E-5</v>
      </c>
      <c r="H21" s="1">
        <v>5.7870370370370373E-5</v>
      </c>
      <c r="I21">
        <f t="shared" si="3"/>
        <v>10.0975</v>
      </c>
      <c r="J21" s="6">
        <f t="shared" si="4"/>
        <v>5.8434606481481488E-4</v>
      </c>
      <c r="K21" s="7">
        <v>0.6</v>
      </c>
      <c r="L21" s="6">
        <f t="shared" si="5"/>
        <v>3.5060763888888891E-4</v>
      </c>
      <c r="M21" s="8">
        <f t="shared" si="6"/>
        <v>3.4722222222222222E-5</v>
      </c>
      <c r="N21" s="10">
        <v>0.5</v>
      </c>
      <c r="O21" s="8">
        <f t="shared" si="7"/>
        <v>1.7361111111111111E-5</v>
      </c>
      <c r="P21" s="8">
        <f t="shared" si="8"/>
        <v>1.7530381944444445E-4</v>
      </c>
      <c r="R21" s="1">
        <v>5.7870370370370373E-5</v>
      </c>
      <c r="S21" s="10">
        <v>1</v>
      </c>
      <c r="T21" s="1">
        <f t="shared" si="9"/>
        <v>-5.7870370370370373E-5</v>
      </c>
      <c r="U21">
        <v>0.6</v>
      </c>
      <c r="V21" s="1">
        <f t="shared" si="10"/>
        <v>-3.4722222222222222E-5</v>
      </c>
    </row>
    <row r="22" spans="1:22" x14ac:dyDescent="0.2">
      <c r="A22">
        <v>12</v>
      </c>
      <c r="B22" s="1">
        <f t="shared" si="11"/>
        <v>3.4561756922226175E-3</v>
      </c>
      <c r="C22" s="1">
        <f t="shared" si="12"/>
        <v>4.1474108306671413E-2</v>
      </c>
      <c r="D22" s="1">
        <f t="shared" si="13"/>
        <v>3.4561756922226175E-3</v>
      </c>
      <c r="E22" s="1">
        <f t="shared" si="12"/>
        <v>4.1647719417782524E-2</v>
      </c>
      <c r="F22" s="1">
        <f t="shared" si="1"/>
        <v>1.7361111111111049E-4</v>
      </c>
      <c r="G22" s="1">
        <f t="shared" si="2"/>
        <v>1.4467592592592541E-5</v>
      </c>
      <c r="H22" s="1">
        <v>5.7870370370370373E-5</v>
      </c>
      <c r="I22">
        <f t="shared" si="3"/>
        <v>9.0975000000000001</v>
      </c>
      <c r="J22" s="6">
        <f t="shared" si="4"/>
        <v>5.2647569444444443E-4</v>
      </c>
      <c r="K22">
        <v>0.65</v>
      </c>
      <c r="L22" s="6">
        <f t="shared" si="5"/>
        <v>3.4220920138888891E-4</v>
      </c>
      <c r="M22" s="8">
        <f t="shared" si="6"/>
        <v>3.7615740740740744E-5</v>
      </c>
      <c r="N22" s="10">
        <v>0.5</v>
      </c>
      <c r="O22" s="8">
        <f t="shared" si="7"/>
        <v>1.8807870370370372E-5</v>
      </c>
      <c r="P22" s="8">
        <f t="shared" si="8"/>
        <v>1.7110460069444446E-4</v>
      </c>
      <c r="R22" s="1">
        <v>5.7870370370370373E-5</v>
      </c>
      <c r="S22" s="10">
        <v>1</v>
      </c>
      <c r="T22" s="1">
        <f t="shared" si="9"/>
        <v>-5.7870370370370373E-5</v>
      </c>
      <c r="U22">
        <v>0.6</v>
      </c>
      <c r="V22" s="1">
        <f t="shared" si="10"/>
        <v>-3.4722222222222222E-5</v>
      </c>
    </row>
    <row r="23" spans="1:22" x14ac:dyDescent="0.2">
      <c r="A23">
        <v>13</v>
      </c>
      <c r="B23" s="1">
        <f t="shared" si="11"/>
        <v>3.4561756922226175E-3</v>
      </c>
      <c r="C23" s="1">
        <f t="shared" si="12"/>
        <v>4.4930283998894031E-2</v>
      </c>
      <c r="D23" s="1">
        <f t="shared" si="13"/>
        <v>3.4561756922226175E-3</v>
      </c>
      <c r="E23" s="1">
        <f t="shared" si="12"/>
        <v>4.5103895110005142E-2</v>
      </c>
      <c r="F23" s="1">
        <f t="shared" si="1"/>
        <v>1.7361111111111049E-4</v>
      </c>
      <c r="G23" s="1">
        <f t="shared" si="2"/>
        <v>1.3354700854700807E-5</v>
      </c>
      <c r="H23" s="1">
        <v>5.7870370370370373E-5</v>
      </c>
      <c r="I23">
        <f t="shared" si="3"/>
        <v>8.0975000000000001</v>
      </c>
      <c r="J23" s="6">
        <f t="shared" si="4"/>
        <v>4.6860532407407408E-4</v>
      </c>
      <c r="K23">
        <v>0.7</v>
      </c>
      <c r="L23" s="6">
        <f t="shared" si="5"/>
        <v>3.2802372685185186E-4</v>
      </c>
      <c r="M23" s="8">
        <f t="shared" si="6"/>
        <v>4.0509259259259258E-5</v>
      </c>
      <c r="N23" s="10">
        <v>0.5</v>
      </c>
      <c r="O23" s="8">
        <f t="shared" si="7"/>
        <v>2.0254629629629629E-5</v>
      </c>
      <c r="P23" s="8">
        <f t="shared" si="8"/>
        <v>1.6401186342592593E-4</v>
      </c>
      <c r="R23" s="1">
        <v>5.7870370370370373E-5</v>
      </c>
      <c r="S23" s="10">
        <v>1</v>
      </c>
      <c r="T23" s="1">
        <f t="shared" si="9"/>
        <v>-5.7870370370370373E-5</v>
      </c>
      <c r="U23">
        <v>0.6</v>
      </c>
      <c r="V23" s="1">
        <f t="shared" si="10"/>
        <v>-3.4722222222222222E-5</v>
      </c>
    </row>
    <row r="24" spans="1:22" x14ac:dyDescent="0.2">
      <c r="A24">
        <v>14</v>
      </c>
      <c r="B24" s="1">
        <f t="shared" si="11"/>
        <v>3.4561756922226175E-3</v>
      </c>
      <c r="C24" s="1">
        <f t="shared" si="12"/>
        <v>4.838645969111665E-2</v>
      </c>
      <c r="D24" s="1">
        <f t="shared" si="13"/>
        <v>3.4561756922226175E-3</v>
      </c>
      <c r="E24" s="1">
        <f t="shared" si="12"/>
        <v>4.856007080222776E-2</v>
      </c>
      <c r="F24" s="1">
        <f t="shared" si="1"/>
        <v>1.7361111111111049E-4</v>
      </c>
      <c r="G24" s="1">
        <f t="shared" si="2"/>
        <v>1.2400793650793607E-5</v>
      </c>
      <c r="H24" s="1">
        <v>5.7870370370370373E-5</v>
      </c>
      <c r="I24">
        <f t="shared" si="3"/>
        <v>7.0975000000000001</v>
      </c>
      <c r="J24" s="6">
        <f t="shared" si="4"/>
        <v>4.1073495370370374E-4</v>
      </c>
      <c r="K24">
        <v>0.75</v>
      </c>
      <c r="L24" s="6">
        <f t="shared" si="5"/>
        <v>3.080512152777778E-4</v>
      </c>
      <c r="M24" s="8">
        <f t="shared" si="6"/>
        <v>4.3402777777777779E-5</v>
      </c>
      <c r="N24" s="10">
        <v>0.5</v>
      </c>
      <c r="O24" s="8">
        <f t="shared" si="7"/>
        <v>2.170138888888889E-5</v>
      </c>
      <c r="P24" s="8">
        <f t="shared" si="8"/>
        <v>1.540256076388889E-4</v>
      </c>
      <c r="R24" s="1">
        <v>5.7870370370370373E-5</v>
      </c>
      <c r="S24" s="10">
        <v>1</v>
      </c>
      <c r="T24" s="1">
        <f t="shared" si="9"/>
        <v>-5.7870370370370373E-5</v>
      </c>
      <c r="U24">
        <v>0.6</v>
      </c>
      <c r="V24" s="1">
        <f t="shared" si="10"/>
        <v>-3.4722222222222222E-5</v>
      </c>
    </row>
    <row r="25" spans="1:22" ht="15" x14ac:dyDescent="0.25">
      <c r="A25">
        <v>15</v>
      </c>
      <c r="B25" s="1">
        <f t="shared" si="11"/>
        <v>3.4561756922226175E-3</v>
      </c>
      <c r="C25" s="1">
        <f t="shared" si="12"/>
        <v>5.1842635383339268E-2</v>
      </c>
      <c r="D25" s="1">
        <f t="shared" si="13"/>
        <v>3.4561756922226175E-3</v>
      </c>
      <c r="E25" s="1">
        <f t="shared" si="12"/>
        <v>5.2016246494450379E-2</v>
      </c>
      <c r="F25" s="1">
        <f t="shared" si="1"/>
        <v>1.7361111111111049E-4</v>
      </c>
      <c r="G25" s="1">
        <f t="shared" si="2"/>
        <v>1.1574074074074033E-5</v>
      </c>
      <c r="H25" s="1">
        <v>5.7870370370370373E-5</v>
      </c>
      <c r="I25">
        <f t="shared" si="3"/>
        <v>6.0975000000000001</v>
      </c>
      <c r="J25" s="6">
        <f t="shared" si="4"/>
        <v>3.5286458333333334E-4</v>
      </c>
      <c r="K25">
        <v>0.82</v>
      </c>
      <c r="L25" s="6">
        <f t="shared" si="5"/>
        <v>2.893489583333333E-4</v>
      </c>
      <c r="M25" s="8">
        <f t="shared" si="6"/>
        <v>4.7453703703703694E-5</v>
      </c>
      <c r="N25" s="10">
        <v>0.5</v>
      </c>
      <c r="O25" s="8">
        <f t="shared" si="7"/>
        <v>2.3726851851851847E-5</v>
      </c>
      <c r="P25" s="8">
        <f t="shared" si="8"/>
        <v>1.4467447916666665E-4</v>
      </c>
      <c r="R25" s="1">
        <v>5.7870370370370373E-5</v>
      </c>
      <c r="S25" s="17">
        <v>1</v>
      </c>
      <c r="T25" s="1">
        <f t="shared" si="9"/>
        <v>-5.7870370370370373E-5</v>
      </c>
      <c r="U25">
        <v>0.6</v>
      </c>
      <c r="V25" s="1">
        <f t="shared" si="10"/>
        <v>-3.4722222222222222E-5</v>
      </c>
    </row>
    <row r="26" spans="1:22" x14ac:dyDescent="0.2">
      <c r="A26">
        <v>16</v>
      </c>
      <c r="B26" s="1">
        <f t="shared" si="11"/>
        <v>3.4561756922226175E-3</v>
      </c>
      <c r="C26" s="1">
        <f t="shared" si="12"/>
        <v>5.5298811075561886E-2</v>
      </c>
      <c r="D26" s="1">
        <f t="shared" si="13"/>
        <v>3.4561756922226175E-3</v>
      </c>
      <c r="E26" s="1">
        <f t="shared" si="12"/>
        <v>5.5472422186672997E-2</v>
      </c>
      <c r="F26" s="1">
        <f t="shared" si="1"/>
        <v>1.7361111111111049E-4</v>
      </c>
      <c r="G26" s="1">
        <f t="shared" si="2"/>
        <v>1.0850694444444406E-5</v>
      </c>
      <c r="H26" s="1">
        <v>5.7870370370370373E-5</v>
      </c>
      <c r="I26">
        <f t="shared" si="3"/>
        <v>5.0975000000000001</v>
      </c>
      <c r="J26" s="6">
        <f t="shared" si="4"/>
        <v>2.9499421296296299E-4</v>
      </c>
      <c r="K26" s="7">
        <v>0.9</v>
      </c>
      <c r="L26" s="6">
        <f t="shared" si="5"/>
        <v>2.654947916666667E-4</v>
      </c>
      <c r="M26" s="8">
        <f t="shared" si="6"/>
        <v>5.2083333333333337E-5</v>
      </c>
      <c r="N26" s="10">
        <v>0.5</v>
      </c>
      <c r="O26" s="8">
        <f t="shared" si="7"/>
        <v>2.6041666666666668E-5</v>
      </c>
      <c r="P26" s="8">
        <f t="shared" si="8"/>
        <v>1.3274739583333335E-4</v>
      </c>
      <c r="R26" s="1">
        <v>5.7870370370370373E-5</v>
      </c>
      <c r="S26" s="10">
        <v>1.3</v>
      </c>
      <c r="T26" s="1">
        <f t="shared" si="9"/>
        <v>-7.5231481481481487E-5</v>
      </c>
      <c r="U26">
        <v>0.6</v>
      </c>
      <c r="V26" s="1">
        <f t="shared" si="10"/>
        <v>-4.5138888888888894E-5</v>
      </c>
    </row>
    <row r="27" spans="1:22" x14ac:dyDescent="0.2">
      <c r="A27">
        <v>17</v>
      </c>
      <c r="B27" s="1">
        <f t="shared" si="11"/>
        <v>3.4561756922226175E-3</v>
      </c>
      <c r="C27" s="1">
        <f t="shared" si="12"/>
        <v>5.8754986767784505E-2</v>
      </c>
      <c r="D27" s="3">
        <f t="shared" ref="D27:D32" si="14">B27-TIME(0,0,3)</f>
        <v>3.4214534700003955E-3</v>
      </c>
      <c r="E27" s="1">
        <f t="shared" si="12"/>
        <v>5.8893875656673395E-2</v>
      </c>
      <c r="F27" s="1">
        <f t="shared" si="1"/>
        <v>1.3888888888888978E-4</v>
      </c>
      <c r="G27" s="1">
        <f t="shared" si="2"/>
        <v>8.1699346405229291E-6</v>
      </c>
      <c r="H27" s="1">
        <v>5.7870370370370373E-5</v>
      </c>
      <c r="I27">
        <f t="shared" si="3"/>
        <v>4.0975000000000001</v>
      </c>
      <c r="J27" s="6">
        <f t="shared" si="4"/>
        <v>2.3712384259259262E-4</v>
      </c>
      <c r="K27">
        <v>0.9</v>
      </c>
      <c r="L27" s="6">
        <f t="shared" si="5"/>
        <v>2.1341145833333336E-4</v>
      </c>
      <c r="M27" s="8">
        <f t="shared" si="6"/>
        <v>5.2083333333333337E-5</v>
      </c>
      <c r="N27" s="10">
        <v>0.5</v>
      </c>
      <c r="O27" s="8">
        <f t="shared" si="7"/>
        <v>2.6041666666666668E-5</v>
      </c>
      <c r="P27" s="8">
        <f t="shared" si="8"/>
        <v>1.0670572916666668E-4</v>
      </c>
      <c r="R27" s="1">
        <v>5.7870370370370373E-5</v>
      </c>
      <c r="S27" s="10">
        <v>2</v>
      </c>
      <c r="T27" s="1">
        <f t="shared" si="9"/>
        <v>-1.1574074074074075E-4</v>
      </c>
      <c r="U27">
        <v>0.6</v>
      </c>
      <c r="V27" s="1">
        <f t="shared" si="10"/>
        <v>-6.9444444444444444E-5</v>
      </c>
    </row>
    <row r="28" spans="1:22" ht="15" x14ac:dyDescent="0.25">
      <c r="A28">
        <v>18</v>
      </c>
      <c r="B28" s="1">
        <f t="shared" si="11"/>
        <v>3.4561756922226175E-3</v>
      </c>
      <c r="C28" s="1">
        <f t="shared" si="12"/>
        <v>6.2211162460007123E-2</v>
      </c>
      <c r="D28" s="3">
        <f t="shared" si="14"/>
        <v>3.4214534700003955E-3</v>
      </c>
      <c r="E28" s="1">
        <f t="shared" si="12"/>
        <v>6.2315329126673792E-2</v>
      </c>
      <c r="F28" s="1">
        <f t="shared" si="1"/>
        <v>1.0416666666666907E-4</v>
      </c>
      <c r="G28" s="1">
        <f t="shared" si="2"/>
        <v>5.7870370370371706E-6</v>
      </c>
      <c r="H28" s="1">
        <v>5.7870370370370373E-5</v>
      </c>
      <c r="I28">
        <f t="shared" si="3"/>
        <v>3.0975000000000001</v>
      </c>
      <c r="J28" s="6">
        <f t="shared" si="4"/>
        <v>1.7925347222222225E-4</v>
      </c>
      <c r="K28">
        <v>0.9</v>
      </c>
      <c r="L28" s="6">
        <f t="shared" si="5"/>
        <v>1.6132812500000004E-4</v>
      </c>
      <c r="M28" s="8">
        <f t="shared" si="6"/>
        <v>5.2083333333333343E-5</v>
      </c>
      <c r="N28" s="10">
        <v>0.5</v>
      </c>
      <c r="O28" s="8">
        <f t="shared" si="7"/>
        <v>2.6041666666666672E-5</v>
      </c>
      <c r="P28" s="8">
        <f t="shared" si="8"/>
        <v>8.066406250000002E-5</v>
      </c>
      <c r="R28" s="1">
        <v>5.7870370370370373E-5</v>
      </c>
      <c r="S28" s="17">
        <v>2.5</v>
      </c>
      <c r="T28" s="1">
        <f t="shared" si="9"/>
        <v>-1.4467592592592592E-4</v>
      </c>
      <c r="U28">
        <v>0.7</v>
      </c>
      <c r="V28" s="1">
        <f t="shared" si="10"/>
        <v>-1.0127314814814813E-4</v>
      </c>
    </row>
    <row r="29" spans="1:22" x14ac:dyDescent="0.2">
      <c r="A29">
        <v>19</v>
      </c>
      <c r="B29" s="1">
        <f t="shared" si="11"/>
        <v>3.4561756922226175E-3</v>
      </c>
      <c r="C29" s="1">
        <f t="shared" si="12"/>
        <v>6.5667338152229734E-2</v>
      </c>
      <c r="D29" s="3">
        <f t="shared" si="14"/>
        <v>3.4214534700003955E-3</v>
      </c>
      <c r="E29" s="1">
        <f t="shared" si="12"/>
        <v>6.573678259667419E-2</v>
      </c>
      <c r="F29" s="1">
        <f t="shared" si="1"/>
        <v>6.94444444444553E-5</v>
      </c>
      <c r="G29" s="1">
        <f t="shared" si="2"/>
        <v>3.6549707602344896E-6</v>
      </c>
      <c r="H29" s="1">
        <v>5.7870370370370373E-5</v>
      </c>
      <c r="I29">
        <f t="shared" si="3"/>
        <v>2.0975000000000001</v>
      </c>
      <c r="J29" s="6">
        <f t="shared" si="4"/>
        <v>1.2138310185185186E-4</v>
      </c>
      <c r="K29">
        <v>0.9</v>
      </c>
      <c r="L29" s="6">
        <f t="shared" si="5"/>
        <v>1.0924479166666668E-4</v>
      </c>
      <c r="M29" s="8">
        <f t="shared" si="6"/>
        <v>5.2083333333333337E-5</v>
      </c>
      <c r="N29" s="10">
        <v>0.5</v>
      </c>
      <c r="O29" s="8">
        <f t="shared" si="7"/>
        <v>2.6041666666666668E-5</v>
      </c>
      <c r="P29" s="8">
        <f t="shared" si="8"/>
        <v>5.4622395833333342E-5</v>
      </c>
      <c r="R29" s="1">
        <v>5.7870370370370373E-5</v>
      </c>
      <c r="S29" s="10">
        <f t="shared" ref="S29:S31" si="15">15/5</f>
        <v>3</v>
      </c>
      <c r="T29" s="1">
        <f t="shared" si="9"/>
        <v>-1.7361111111111112E-4</v>
      </c>
      <c r="U29">
        <v>0.8</v>
      </c>
      <c r="V29" s="1">
        <f t="shared" si="10"/>
        <v>-1.3888888888888889E-4</v>
      </c>
    </row>
    <row r="30" spans="1:22" x14ac:dyDescent="0.2">
      <c r="A30">
        <v>20</v>
      </c>
      <c r="B30" s="1">
        <f t="shared" si="11"/>
        <v>3.4561756922226175E-3</v>
      </c>
      <c r="C30" s="1">
        <f t="shared" si="12"/>
        <v>6.9123513844452353E-2</v>
      </c>
      <c r="D30" s="3">
        <f t="shared" si="14"/>
        <v>3.4214534700003955E-3</v>
      </c>
      <c r="E30" s="1">
        <f t="shared" si="12"/>
        <v>6.915823606667458E-2</v>
      </c>
      <c r="F30" s="1">
        <f t="shared" si="1"/>
        <v>3.472222222222765E-5</v>
      </c>
      <c r="G30" s="1">
        <f t="shared" si="2"/>
        <v>1.7361111111113825E-6</v>
      </c>
      <c r="H30" s="1">
        <v>5.7870370370370373E-5</v>
      </c>
      <c r="I30">
        <f t="shared" si="3"/>
        <v>1.0975000000000001</v>
      </c>
      <c r="J30" s="6">
        <f t="shared" si="4"/>
        <v>6.351273148148149E-5</v>
      </c>
      <c r="K30">
        <v>1</v>
      </c>
      <c r="L30" s="6">
        <f t="shared" si="5"/>
        <v>6.351273148148149E-5</v>
      </c>
      <c r="M30" s="8">
        <f t="shared" si="6"/>
        <v>5.7870370370370373E-5</v>
      </c>
      <c r="N30" s="10">
        <v>0.5</v>
      </c>
      <c r="O30" s="8">
        <f t="shared" si="7"/>
        <v>2.8935185185185186E-5</v>
      </c>
      <c r="P30" s="8">
        <f t="shared" si="8"/>
        <v>3.1756365740740745E-5</v>
      </c>
      <c r="R30" s="1">
        <v>5.7870370370370373E-5</v>
      </c>
      <c r="S30" s="10">
        <f t="shared" si="15"/>
        <v>3</v>
      </c>
      <c r="T30" s="1">
        <f t="shared" si="9"/>
        <v>-1.7361111111111112E-4</v>
      </c>
      <c r="U30">
        <v>0.9</v>
      </c>
      <c r="V30" s="1">
        <f t="shared" si="10"/>
        <v>-1.5625E-4</v>
      </c>
    </row>
    <row r="31" spans="1:22" x14ac:dyDescent="0.2">
      <c r="A31">
        <v>21</v>
      </c>
      <c r="B31" s="1">
        <f t="shared" si="11"/>
        <v>3.4561756922226175E-3</v>
      </c>
      <c r="C31" s="1">
        <f t="shared" si="12"/>
        <v>7.2579689536674971E-2</v>
      </c>
      <c r="D31" s="3">
        <f t="shared" si="14"/>
        <v>3.4214534700003955E-3</v>
      </c>
      <c r="E31" s="1">
        <f t="shared" si="12"/>
        <v>7.2579689536674971E-2</v>
      </c>
      <c r="F31" s="1">
        <f t="shared" si="1"/>
        <v>0</v>
      </c>
      <c r="G31" s="1">
        <f t="shared" si="2"/>
        <v>0</v>
      </c>
      <c r="H31" s="1">
        <v>5.7870370370370373E-5</v>
      </c>
      <c r="I31">
        <f t="shared" si="3"/>
        <v>9.7500000000000142E-2</v>
      </c>
      <c r="J31" s="6">
        <f t="shared" si="4"/>
        <v>5.6423611111111193E-6</v>
      </c>
      <c r="K31">
        <v>1</v>
      </c>
      <c r="L31" s="6">
        <f t="shared" si="5"/>
        <v>5.6423611111111193E-6</v>
      </c>
      <c r="M31" s="8">
        <f t="shared" si="6"/>
        <v>5.7870370370370373E-5</v>
      </c>
      <c r="N31" s="10">
        <v>0.5</v>
      </c>
      <c r="O31" s="8">
        <f t="shared" si="7"/>
        <v>2.8935185185185186E-5</v>
      </c>
      <c r="P31" s="8">
        <f t="shared" si="8"/>
        <v>2.8211805555555597E-6</v>
      </c>
      <c r="R31" s="1">
        <v>5.7870370370370373E-5</v>
      </c>
      <c r="S31" s="10">
        <f t="shared" si="15"/>
        <v>3</v>
      </c>
      <c r="T31" s="1">
        <f t="shared" si="9"/>
        <v>-1.7361111111111112E-4</v>
      </c>
      <c r="U31">
        <v>0.9</v>
      </c>
      <c r="V31" s="1">
        <f t="shared" si="10"/>
        <v>-1.5625E-4</v>
      </c>
    </row>
    <row r="32" spans="1:22" ht="15" x14ac:dyDescent="0.25">
      <c r="A32">
        <v>21.0975</v>
      </c>
      <c r="B32" s="1">
        <f t="shared" si="11"/>
        <v>3.4561756922226175E-3</v>
      </c>
      <c r="C32" s="1">
        <f t="shared" si="12"/>
        <v>7.2916666666666671E-2</v>
      </c>
      <c r="D32" s="3">
        <f t="shared" si="14"/>
        <v>3.4214534700003955E-3</v>
      </c>
      <c r="E32" s="1">
        <f t="shared" si="12"/>
        <v>7.2913281250000017E-2</v>
      </c>
      <c r="F32" s="1">
        <v>0</v>
      </c>
      <c r="G32" s="1">
        <f t="shared" si="2"/>
        <v>0</v>
      </c>
      <c r="H32" s="1">
        <v>5.7870370370370373E-5</v>
      </c>
      <c r="I32">
        <f t="shared" si="3"/>
        <v>0</v>
      </c>
      <c r="J32" s="6">
        <f t="shared" si="4"/>
        <v>0</v>
      </c>
      <c r="K32">
        <v>1</v>
      </c>
      <c r="L32" s="6">
        <f t="shared" si="5"/>
        <v>0</v>
      </c>
      <c r="M32" s="8">
        <v>0</v>
      </c>
      <c r="N32" s="10">
        <v>0.5</v>
      </c>
      <c r="O32" s="8">
        <f t="shared" si="7"/>
        <v>0</v>
      </c>
      <c r="P32" s="8">
        <f t="shared" si="8"/>
        <v>0</v>
      </c>
      <c r="R32" s="1">
        <v>5.7870370370370373E-5</v>
      </c>
      <c r="S32" s="17">
        <v>3</v>
      </c>
      <c r="T32" s="1">
        <f t="shared" si="9"/>
        <v>-1.7361111111111112E-4</v>
      </c>
      <c r="U32">
        <v>0.9</v>
      </c>
      <c r="V32" s="1">
        <f t="shared" si="10"/>
        <v>-1.5625E-4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Braithwaite, Mark</dc:creator>
  <cp:lastModifiedBy>Braithwaite, Mark</cp:lastModifiedBy>
  <cp:revision>2</cp:revision>
  <dcterms:created xsi:type="dcterms:W3CDTF">2012-01-31T16:41:36Z</dcterms:created>
  <dcterms:modified xsi:type="dcterms:W3CDTF">2026-07-31T15:57:57Z</dcterms:modified>
  <cp:version>2014</cp:version>
</cp:coreProperties>
</file>